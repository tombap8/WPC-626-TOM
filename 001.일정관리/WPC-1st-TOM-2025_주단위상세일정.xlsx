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21795" windowHeight="14595"/>
  </bookViews>
  <sheets>
    <sheet name="Hi-Media 반응형 웹퍼블리셔 1회차 주별 상세일정" sheetId="1" r:id="rId1"/>
    <sheet name="Sheet2" sheetId="2" r:id="rId2"/>
    <sheet name="Sheet3" sheetId="3" r:id="rId3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<sst xmlns="http://schemas.openxmlformats.org/spreadsheetml/2006/main" count="168" uniqueCount="115">
  <si>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</si>
  <si>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</si>
  <si>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</si>
  <si>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</si>
  <si>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</si>
  <si>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</si>
  <si>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</si>
  <si>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</si>
  <si>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</si>
  <si>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</si>
  <si>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</si>
  <si>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</si>
  <si>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</si>
  <si>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</si>
  <si>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</si>
  <si>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</si>
  <si>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</si>
  <si>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</si>
  <si>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</si>
  <si>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</si>
  <si>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</si>
  <si>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</si>
  <si>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</si>
  <si>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</si>
  <si>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</si>
  <si>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</si>
  <si>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</si>
  <si>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</si>
  <si>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</si>
  <si>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</si>
  <si>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</si>
  <si>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</si>
  <si>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</si>
  <si>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</si>
  <si>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</si>
  <si>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</si>
  <si>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</si>
  <si>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</si>
  <si>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</si>
  <si>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</si>
  <si>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</si>
  <si>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</si>
  <si>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</si>
  <si>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</si>
  <si>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</si>
  <si>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</si>
  <si>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</si>
  <si>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</si>
  <si>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</si>
  <si>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</si>
  <si>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</si>
  <si>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</si>
  <si>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</si>
  <si>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</si>
  <si>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</si>
  <si>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</si>
  <si>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</si>
  <si>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</si>
  <si>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</si>
  <si>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</si>
  <si>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</si>
  <si>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</si>
  <si>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</si>
  <si>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</si>
  <si>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</si>
  <si>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</si>
  <si>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</si>
  <si>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</si>
  <si>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</si>
  <si>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</si>
  <si>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</si>
  <si>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</si>
  <si>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</si>
  <si>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</si>
  <si>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</si>
  <si>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</si>
  <si>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</si>
  <si>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</si>
  <si>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</si>
  <si>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</si>
  <si>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</si>
  <si>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</si>
  <si>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</si>
  <si>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</si>
  <si>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</si>
  <si>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</si>
  <si>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</si>
  <si>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</si>
  <si>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</si>
  <si>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</si>
  <si>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</si>
  <si>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</si>
  <si>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</si>
  <si>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</si>
  <si>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</si>
  <si>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준비</t>
    <phoneticPr fontId="4" type="noConversion"/>
  </si>
  <si>
    <t>도깨비 PJ 프로토타이핑</t>
    <phoneticPr fontId="4" type="noConversion"/>
  </si>
  <si>
    <t>1차 제출 피드백 보완</t>
    <phoneticPr fontId="4" type="noConversion"/>
  </si>
  <si>
    <t>1차 제출 피드백 보완</t>
    <phoneticPr fontId="4" type="noConversion"/>
  </si>
  <si>
    <t>1차 프로토타이핑</t>
    <phoneticPr fontId="4" type="noConversion"/>
  </si>
  <si>
    <t>1차 상세코딩</t>
    <phoneticPr fontId="4" type="noConversion"/>
  </si>
  <si>
    <t>2차 PJ 상세코딩</t>
    <phoneticPr fontId="4" type="noConversion"/>
  </si>
  <si>
    <t>2차 산출물작업</t>
    <phoneticPr fontId="4" type="noConversion"/>
  </si>
  <si>
    <t>HTML5 + CSS3 응용연습</t>
    <phoneticPr fontId="4" type="noConversion"/>
  </si>
  <si>
    <t>HTML5 + CSS3 응용연습
제이쿼리 기본</t>
    <phoneticPr fontId="4" type="noConversion"/>
  </si>
  <si>
    <t>도깨비 PJ 목업 + 상세코딩</t>
    <phoneticPr fontId="4" type="noConversion"/>
  </si>
  <si>
    <t>1차 상세코딩
2차 주제선정</t>
    <phoneticPr fontId="4" type="noConversion"/>
  </si>
  <si>
    <t>1차 상세코딩
2차 PJ 디자인 &amp; 프로토타입</t>
    <phoneticPr fontId="4" type="noConversion"/>
  </si>
  <si>
    <t>HTML5 + CSS3 응용연습
Javascript 응용 / 제이쿼리 기본</t>
    <phoneticPr fontId="4" type="noConversion"/>
  </si>
  <si>
    <t>산리오 PJ 상세코딩</t>
    <phoneticPr fontId="4" type="noConversion"/>
  </si>
  <si>
    <t>쉐도잉 PJ 보완코딩</t>
    <phoneticPr fontId="4" type="noConversion"/>
  </si>
  <si>
    <t>쉐도잉 PJ 차기작 준비</t>
    <phoneticPr fontId="4" type="noConversion"/>
  </si>
  <si>
    <t>도깨비 PJ 상세코딩</t>
    <phoneticPr fontId="4" type="noConversion"/>
  </si>
  <si>
    <t>쉐도잉 PJ 차기작 준비</t>
    <phoneticPr fontId="4" type="noConversion"/>
  </si>
  <si>
    <t>보그 PJ 상세코딩
산리오 PJ 분석/설계(금)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</si>
</sst>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4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178" fontId="1" fillId="0" borderId="1" xfId="0" applyNumberFormat="1" applyFont="1" applyFill="1" applyBorder="1" applyAlignment="1">
      <alignment horizontal="center" vertical="center"/>
    </xf>
    <xf numFmtId="0" fontId="10" fillId="5" borderId="1" xfId="2" applyFont="1" applyFill="1" applyBorder="1" applyAlignment="1">
      <alignment horizontal="center" vertical="center" wrapText="1"/>
    </xf>
    <xf numFmtId="0" fontId="6" fillId="6" borderId="0" xfId="0" applyFont="1" applyFill="1">
      <alignment vertical="center"/>
    </xf>
    <xf numFmtId="0" fontId="0" fillId="5" borderId="3" xfId="0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6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/>
    </xf>
    <xf numFmtId="14" fontId="10" fillId="7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0" fontId="10" fillId="7" borderId="1" xfId="2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/>
    </xf>
    <xf numFmtId="14" fontId="1" fillId="7" borderId="1" xfId="0" applyNumberFormat="1" applyFont="1" applyFill="1" applyBorder="1" applyAlignment="1">
      <alignment horizontal="center" vertical="center" wrapText="1"/>
    </xf>
    <xf numFmtId="0" fontId="7" fillId="9" borderId="2" xfId="0" applyFont="1" applyFill="1" applyBorder="1" applyAlignment="1">
      <alignment horizontal="center" vertical="center" wrapText="1"/>
    </xf>
    <xf numFmtId="14" fontId="7" fillId="8" borderId="1" xfId="0" applyNumberFormat="1" applyFont="1" applyFill="1" applyBorder="1" applyAlignment="1">
      <alignment horizontal="center" vertical="center" wrapText="1"/>
    </xf>
    <xf numFmtId="176" fontId="0" fillId="10" borderId="1" xfId="0" applyNumberFormat="1" applyFill="1" applyBorder="1" applyAlignment="1">
      <alignment horizontal="center" vertical="center"/>
    </xf>
    <xf numFmtId="14" fontId="7" fillId="7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14" fontId="7" fillId="5" borderId="1" xfId="0" applyNumberFormat="1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</cellXfs>
  <cellStyles count="4">
    <cellStyle name="표준" xfId="0" builtinId="0"/>
    <cellStyle name="표준 2" xfId="2"/>
    <cellStyle name="표준 3" xfId="3"/>
    <cellStyle name="표준 4" xfId="1"/>
  </cellStyles>
  <dxfs count="0"/>
  <tableStyles count="0" defaultTableStyle="TableStyleMedium2" defaultPivotStyle="PivotStyleLight16"/>
  <colors>
    <mruColors>
      <color rgb="FFCCECFF"/>
      <color rgb="FFFFCCFF"/>
      <color rgb="FFCC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43"/>
  <sheetViews>
    <sheetView tabSelected="1" topLeftCell="A20" zoomScale="85" zoomScaleNormal="85" workbookViewId="0">
      <selection activeCell="H27" sqref="H27"/>
    </sheetView>
  </sheetViews>
  <sheetFormatPr defaultRowHeight="16.899999999999999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2:12" ht="17.25" thickBot="1"/>
    <row r="2" spans="2:12" ht="53.25" customHeight="1" thickTop="1" thickBot="1">
      <c r="B2" s="56" t="s">
        <v>41</v>
      </c>
      <c r="C2" s="57"/>
      <c r="D2" s="57"/>
      <c r="E2" s="57"/>
      <c r="F2" s="57"/>
      <c r="G2" s="57"/>
      <c r="H2" s="57"/>
      <c r="I2" s="57"/>
      <c r="J2" s="57"/>
      <c r="K2" s="57"/>
      <c r="L2" s="58"/>
    </row>
    <row r="3" spans="2:12" ht="18.75" customHeight="1" thickTop="1" thickBot="1">
      <c r="B3" s="52"/>
      <c r="C3" s="52"/>
      <c r="D3" s="52"/>
      <c r="E3" s="52"/>
      <c r="F3" s="52"/>
      <c r="G3" s="52"/>
      <c r="H3" s="52"/>
      <c r="I3" s="52"/>
      <c r="J3" s="52"/>
      <c r="K3" s="52"/>
    </row>
    <row r="4" spans="2:12" s="3" customFormat="1" ht="34.5" customHeight="1">
      <c r="B4" s="8" t="s">
        <v>7</v>
      </c>
      <c r="C4" s="53" t="s">
        <v>8</v>
      </c>
      <c r="D4" s="53"/>
      <c r="E4" s="53"/>
      <c r="F4" s="7" t="s">
        <v>11</v>
      </c>
      <c r="G4" s="7" t="s">
        <v>10</v>
      </c>
      <c r="H4" s="7" t="s">
        <v>53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2:12" s="3" customFormat="1" ht="48" hidden="1" customHeight="1">
      <c r="B5" s="9" t="s">
        <v>33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36</v>
      </c>
      <c r="L5" s="15"/>
    </row>
    <row r="6" spans="2:12" s="3" customFormat="1" ht="48" hidden="1" customHeight="1">
      <c r="B6" s="9" t="s">
        <v>34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36</v>
      </c>
      <c r="L6" s="15"/>
    </row>
    <row r="7" spans="2:12" s="3" customFormat="1" ht="48" hidden="1" customHeight="1">
      <c r="B7" s="9" t="s">
        <v>35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36</v>
      </c>
      <c r="L7" s="15"/>
    </row>
    <row r="8" spans="2:12" s="3" customFormat="1" ht="56.45" customHeight="1">
      <c r="B8" s="32" t="s">
        <v>12</v>
      </c>
      <c r="C8" s="33">
        <v>45834</v>
      </c>
      <c r="D8" s="34" t="s">
        <v>6</v>
      </c>
      <c r="E8" s="33">
        <v>45835</v>
      </c>
      <c r="F8" s="35">
        <f>DAYS360(C8,E8)+1</f>
        <v>2</v>
      </c>
      <c r="G8" s="36" t="s">
        <v>42</v>
      </c>
      <c r="H8" s="34"/>
      <c r="I8" s="34"/>
      <c r="J8" s="34"/>
      <c r="K8" s="37" t="s">
        <v>77</v>
      </c>
      <c r="L8" s="38" t="s">
        <v>67</v>
      </c>
    </row>
    <row r="9" spans="2:12" s="3" customFormat="1" ht="56.45" customHeight="1">
      <c r="B9" s="39" t="s">
        <v>15</v>
      </c>
      <c r="C9" s="40">
        <v>45838</v>
      </c>
      <c r="D9" s="41" t="s">
        <v>6</v>
      </c>
      <c r="E9" s="40">
        <v>45842</v>
      </c>
      <c r="F9" s="42">
        <f t="shared" ref="F9:F27" si="0">DAYS360(C9,E9)+1</f>
        <v>5</v>
      </c>
      <c r="G9" s="36" t="s">
        <v>43</v>
      </c>
      <c r="H9" s="43"/>
      <c r="I9" s="41" t="s">
        <v>39</v>
      </c>
      <c r="J9" s="41" t="s">
        <v>81</v>
      </c>
      <c r="K9" s="44" t="s">
        <v>88</v>
      </c>
      <c r="L9" s="45"/>
    </row>
    <row r="10" spans="2:12" s="3" customFormat="1" ht="56.45" customHeight="1">
      <c r="B10" s="39" t="s">
        <v>0</v>
      </c>
      <c r="C10" s="40">
        <v>45845</v>
      </c>
      <c r="D10" s="41" t="s">
        <v>6</v>
      </c>
      <c r="E10" s="40">
        <v>45849</v>
      </c>
      <c r="F10" s="42">
        <f t="shared" si="0"/>
        <v>5</v>
      </c>
      <c r="G10" s="36" t="s">
        <v>44</v>
      </c>
      <c r="H10" s="43"/>
      <c r="I10" s="41" t="s">
        <v>38</v>
      </c>
      <c r="J10" s="41" t="s">
        <v>80</v>
      </c>
      <c r="K10" s="44" t="s">
        <v>89</v>
      </c>
      <c r="L10" s="45"/>
    </row>
    <row r="11" spans="2:12" s="3" customFormat="1" ht="56.45" customHeight="1">
      <c r="B11" s="39" t="s">
        <v>1</v>
      </c>
      <c r="C11" s="40">
        <v>45852</v>
      </c>
      <c r="D11" s="41" t="s">
        <v>6</v>
      </c>
      <c r="E11" s="40">
        <v>45856</v>
      </c>
      <c r="F11" s="42">
        <f>DAYS360(C11,E11)+1</f>
        <v>5</v>
      </c>
      <c r="G11" s="36" t="s">
        <v>45</v>
      </c>
      <c r="H11" s="46"/>
      <c r="I11" s="41" t="s">
        <v>38</v>
      </c>
      <c r="J11" s="44" t="s">
        <v>90</v>
      </c>
      <c r="K11" s="44" t="s">
        <v>84</v>
      </c>
      <c r="L11" s="45"/>
    </row>
    <row r="12" spans="2:12" s="3" customFormat="1" ht="56.45" customHeight="1">
      <c r="B12" s="39" t="s">
        <v>2</v>
      </c>
      <c r="C12" s="40">
        <v>45859</v>
      </c>
      <c r="D12" s="41" t="s">
        <v>6</v>
      </c>
      <c r="E12" s="40">
        <v>45863</v>
      </c>
      <c r="F12" s="42">
        <f t="shared" si="0"/>
        <v>5</v>
      </c>
      <c r="G12" s="36" t="s">
        <v>46</v>
      </c>
      <c r="H12" s="43"/>
      <c r="I12" s="41" t="s">
        <v>93</v>
      </c>
      <c r="J12" s="44" t="s">
        <v>92</v>
      </c>
      <c r="K12" s="44" t="s">
        <v>85</v>
      </c>
      <c r="L12" s="45"/>
    </row>
    <row r="13" spans="2:12" s="3" customFormat="1" ht="56.45" customHeight="1">
      <c r="B13" s="39" t="s">
        <v>3</v>
      </c>
      <c r="C13" s="40">
        <v>45866</v>
      </c>
      <c r="D13" s="41" t="s">
        <v>6</v>
      </c>
      <c r="E13" s="40">
        <v>45867</v>
      </c>
      <c r="F13" s="42">
        <f t="shared" si="0"/>
        <v>2</v>
      </c>
      <c r="G13" s="36" t="s">
        <v>46</v>
      </c>
      <c r="H13" s="43"/>
      <c r="I13" s="41" t="s">
        <v>93</v>
      </c>
      <c r="J13" s="44" t="s">
        <v>82</v>
      </c>
      <c r="K13" s="44" t="s">
        <v>91</v>
      </c>
      <c r="L13" s="45"/>
    </row>
    <row r="14" spans="2:12" s="3" customFormat="1" ht="56.45" customHeight="1">
      <c r="B14" s="39" t="s">
        <v>4</v>
      </c>
      <c r="C14" s="40">
        <v>45873</v>
      </c>
      <c r="D14" s="41" t="s">
        <v>6</v>
      </c>
      <c r="E14" s="40">
        <v>45877</v>
      </c>
      <c r="F14" s="42">
        <f>DAYS360(C14,E14)+1</f>
        <v>5</v>
      </c>
      <c r="G14" s="36" t="s">
        <v>48</v>
      </c>
      <c r="H14" s="47" t="s">
        <v>47</v>
      </c>
      <c r="I14" s="44" t="s">
        <v>94</v>
      </c>
      <c r="J14" s="44" t="s">
        <v>83</v>
      </c>
      <c r="K14" s="44" t="s">
        <v>86</v>
      </c>
      <c r="L14" s="38"/>
    </row>
    <row r="15" spans="2:12" s="3" customFormat="1" ht="56.45" customHeight="1">
      <c r="B15" s="39" t="s">
        <v>5</v>
      </c>
      <c r="C15" s="40">
        <v>45880</v>
      </c>
      <c r="D15" s="41" t="s">
        <v>6</v>
      </c>
      <c r="E15" s="40">
        <v>45883</v>
      </c>
      <c r="F15" s="42">
        <f>DAYS360(C15,E15)+1</f>
        <v>4</v>
      </c>
      <c r="G15" s="36" t="s">
        <v>49</v>
      </c>
      <c r="H15" s="43"/>
      <c r="I15" s="44" t="s">
        <v>95</v>
      </c>
      <c r="J15" s="41" t="s">
        <v>97</v>
      </c>
      <c r="K15" s="44" t="s">
        <v>103</v>
      </c>
      <c r="L15" s="45"/>
    </row>
    <row r="16" spans="2:12" s="3" customFormat="1" ht="56.45" customHeight="1">
      <c r="B16" s="39" t="s">
        <v>16</v>
      </c>
      <c r="C16" s="40">
        <v>45887</v>
      </c>
      <c r="D16" s="41" t="s">
        <v>6</v>
      </c>
      <c r="E16" s="40">
        <v>45891</v>
      </c>
      <c r="F16" s="42">
        <f t="shared" si="0"/>
        <v>5</v>
      </c>
      <c r="G16" s="36" t="s">
        <v>50</v>
      </c>
      <c r="H16" s="43"/>
      <c r="I16" s="44" t="s">
        <v>96</v>
      </c>
      <c r="J16" s="41" t="s">
        <v>98</v>
      </c>
      <c r="K16" s="44" t="s">
        <v>87</v>
      </c>
      <c r="L16" s="45"/>
    </row>
    <row r="17" spans="1:12" s="3" customFormat="1" ht="56.45" customHeight="1">
      <c r="B17" s="39" t="s">
        <v>17</v>
      </c>
      <c r="C17" s="40">
        <v>45894</v>
      </c>
      <c r="D17" s="41" t="s">
        <v>6</v>
      </c>
      <c r="E17" s="40">
        <v>45898</v>
      </c>
      <c r="F17" s="42">
        <f>DAYS360(C17,E17)+1</f>
        <v>5</v>
      </c>
      <c r="G17" s="36" t="s">
        <v>51</v>
      </c>
      <c r="H17" s="47" t="s">
        <v>54</v>
      </c>
      <c r="I17" s="44" t="s">
        <v>96</v>
      </c>
      <c r="J17" s="44" t="s">
        <v>99</v>
      </c>
      <c r="K17" s="44" t="s">
        <v>78</v>
      </c>
      <c r="L17" s="38" t="s">
        <v>68</v>
      </c>
    </row>
    <row r="18" spans="1:12" s="3" customFormat="1" ht="56.45" customHeight="1">
      <c r="B18" s="39" t="s">
        <v>18</v>
      </c>
      <c r="C18" s="40">
        <v>45901</v>
      </c>
      <c r="D18" s="41" t="s">
        <v>6</v>
      </c>
      <c r="E18" s="40">
        <v>45905</v>
      </c>
      <c r="F18" s="42">
        <f>DAYS360(C18,E18)+1</f>
        <v>5</v>
      </c>
      <c r="G18" s="36" t="s">
        <v>52</v>
      </c>
      <c r="H18" s="43"/>
      <c r="I18" s="44" t="s">
        <v>96</v>
      </c>
      <c r="J18" s="44" t="s">
        <v>99</v>
      </c>
      <c r="K18" s="44" t="s">
        <v>78</v>
      </c>
      <c r="L18" s="45"/>
    </row>
    <row r="19" spans="1:12" s="3" customFormat="1" ht="56.45" customHeight="1">
      <c r="B19" s="39" t="s">
        <v>19</v>
      </c>
      <c r="C19" s="40">
        <v>45908</v>
      </c>
      <c r="D19" s="41" t="s">
        <v>6</v>
      </c>
      <c r="E19" s="40">
        <v>45912</v>
      </c>
      <c r="F19" s="42">
        <f>DAYS360(C19,E19)+1</f>
        <v>5</v>
      </c>
      <c r="G19" s="36" t="s">
        <v>56</v>
      </c>
      <c r="H19" s="47" t="s">
        <v>55</v>
      </c>
      <c r="I19" s="44" t="s">
        <v>105</v>
      </c>
      <c r="J19" s="44" t="s">
        <v>100</v>
      </c>
      <c r="K19" s="44" t="s">
        <v>78</v>
      </c>
      <c r="L19" s="45"/>
    </row>
    <row r="20" spans="1:12" s="3" customFormat="1" ht="56.45" customHeight="1">
      <c r="B20" s="39" t="s">
        <v>20</v>
      </c>
      <c r="C20" s="40">
        <v>45915</v>
      </c>
      <c r="D20" s="41" t="s">
        <v>6</v>
      </c>
      <c r="E20" s="40">
        <v>45919</v>
      </c>
      <c r="F20" s="42">
        <f>DAYS360(C20,E20)+1</f>
        <v>5</v>
      </c>
      <c r="G20" s="36" t="s">
        <v>57</v>
      </c>
      <c r="H20" s="51" t="s">
        <v>70</v>
      </c>
      <c r="I20" s="44" t="s">
        <v>40</v>
      </c>
      <c r="J20" s="44" t="s">
        <v>100</v>
      </c>
      <c r="K20" s="44" t="s">
        <v>78</v>
      </c>
      <c r="L20" s="45"/>
    </row>
    <row r="21" spans="1:12" s="3" customFormat="1" ht="56.45" customHeight="1">
      <c r="B21" s="39" t="s">
        <v>21</v>
      </c>
      <c r="C21" s="40">
        <v>45922</v>
      </c>
      <c r="D21" s="41" t="s">
        <v>6</v>
      </c>
      <c r="E21" s="40">
        <v>45926</v>
      </c>
      <c r="F21" s="42">
        <f t="shared" si="0"/>
        <v>5</v>
      </c>
      <c r="G21" s="36" t="s">
        <v>58</v>
      </c>
      <c r="H21" s="43"/>
      <c r="I21" s="44" t="s">
        <v>40</v>
      </c>
      <c r="J21" s="44" t="s">
        <v>100</v>
      </c>
      <c r="K21" s="44" t="s">
        <v>108</v>
      </c>
      <c r="L21" s="45"/>
    </row>
    <row r="22" spans="1:12" s="3" customFormat="1" ht="56.45" customHeight="1">
      <c r="B22" s="39" t="s">
        <v>22</v>
      </c>
      <c r="C22" s="40">
        <v>45929</v>
      </c>
      <c r="D22" s="41" t="s">
        <v>6</v>
      </c>
      <c r="E22" s="40">
        <v>45932</v>
      </c>
      <c r="F22" s="42">
        <f t="shared" si="0"/>
        <v>4</v>
      </c>
      <c r="G22" s="36" t="s">
        <v>59</v>
      </c>
      <c r="H22" s="43"/>
      <c r="I22" s="44" t="s">
        <v>40</v>
      </c>
      <c r="J22" s="44" t="s">
        <v>100</v>
      </c>
      <c r="K22" s="44" t="s">
        <v>104</v>
      </c>
      <c r="L22" s="45"/>
    </row>
    <row r="23" spans="1:12" s="3" customFormat="1" ht="56.45" customHeight="1">
      <c r="B23" s="39" t="s">
        <v>23</v>
      </c>
      <c r="C23" s="40">
        <v>45940</v>
      </c>
      <c r="D23" s="41" t="s">
        <v>6</v>
      </c>
      <c r="E23" s="40">
        <v>45940</v>
      </c>
      <c r="F23" s="42">
        <f t="shared" si="0"/>
        <v>1</v>
      </c>
      <c r="G23" s="36" t="s">
        <v>59</v>
      </c>
      <c r="H23" s="43"/>
      <c r="I23" s="44" t="s">
        <v>112</v>
      </c>
      <c r="J23" s="44" t="s">
        <v>106</v>
      </c>
      <c r="K23" s="44" t="s">
        <v>104</v>
      </c>
      <c r="L23" s="45"/>
    </row>
    <row r="24" spans="1:12" s="3" customFormat="1" ht="56.45" customHeight="1">
      <c r="B24" s="39" t="s">
        <v>24</v>
      </c>
      <c r="C24" s="40">
        <v>45943</v>
      </c>
      <c r="D24" s="41" t="s">
        <v>6</v>
      </c>
      <c r="E24" s="40">
        <v>45947</v>
      </c>
      <c r="F24" s="42">
        <f>DAYS360(C24,E24)+1</f>
        <v>5</v>
      </c>
      <c r="G24" s="36" t="s">
        <v>60</v>
      </c>
      <c r="H24" s="51" t="s">
        <v>71</v>
      </c>
      <c r="I24" s="44" t="s">
        <v>113</v>
      </c>
      <c r="J24" s="44" t="s">
        <v>107</v>
      </c>
      <c r="K24" s="44" t="s">
        <v>104</v>
      </c>
      <c r="L24" s="45"/>
    </row>
    <row r="25" spans="1:12" s="3" customFormat="1" ht="56.45" customHeight="1">
      <c r="B25" s="39" t="s">
        <v>25</v>
      </c>
      <c r="C25" s="40">
        <v>45950</v>
      </c>
      <c r="D25" s="41" t="s">
        <v>6</v>
      </c>
      <c r="E25" s="40">
        <v>45954</v>
      </c>
      <c r="F25" s="42">
        <f t="shared" si="0"/>
        <v>5</v>
      </c>
      <c r="G25" s="36" t="s">
        <v>61</v>
      </c>
      <c r="H25" s="51" t="s">
        <v>72</v>
      </c>
      <c r="I25" s="43" t="s">
        <v>113</v>
      </c>
      <c r="J25" s="44" t="s">
        <v>107</v>
      </c>
      <c r="K25" s="44" t="s">
        <v>79</v>
      </c>
      <c r="L25" s="45"/>
    </row>
    <row r="26" spans="1:12" s="3" customFormat="1" ht="56.45" customHeight="1">
      <c r="B26" s="39" t="s">
        <v>26</v>
      </c>
      <c r="C26" s="40">
        <v>45957</v>
      </c>
      <c r="D26" s="41" t="s">
        <v>6</v>
      </c>
      <c r="E26" s="40">
        <v>45961</v>
      </c>
      <c r="F26" s="42">
        <f t="shared" si="0"/>
        <v>5</v>
      </c>
      <c r="G26" s="36" t="s">
        <v>62</v>
      </c>
      <c r="H26" s="59" t="s">
        <v>75</v>
      </c>
      <c r="I26" s="43" t="s">
        <v>111</v>
      </c>
      <c r="J26" s="44" t="s">
        <v>101</v>
      </c>
      <c r="K26" s="44" t="s">
        <v>79</v>
      </c>
      <c r="L26" s="60" t="s">
        <v>69</v>
      </c>
    </row>
    <row r="27" spans="1:12" ht="56.45" customHeight="1">
      <c r="A27" s="26"/>
      <c r="B27" s="27" t="s">
        <v>27</v>
      </c>
      <c r="C27" s="28">
        <v>45964</v>
      </c>
      <c r="D27" s="29" t="s">
        <v>6</v>
      </c>
      <c r="E27" s="28">
        <v>45968</v>
      </c>
      <c r="F27" s="30">
        <f t="shared" si="0"/>
        <v>5</v>
      </c>
      <c r="G27" s="25" t="s">
        <v>63</v>
      </c>
      <c r="H27" s="61" t="s">
        <v>73</v>
      </c>
      <c r="I27" s="62" t="s">
        <v>114</v>
      </c>
      <c r="J27" s="29" t="s">
        <v>101</v>
      </c>
      <c r="K27" s="31" t="s">
        <v>79</v>
      </c>
      <c r="L27" s="63"/>
    </row>
    <row r="28" spans="1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64</v>
      </c>
      <c r="H28" s="24"/>
      <c r="I28" s="21" t="s">
        <v>109</v>
      </c>
      <c r="J28" s="19" t="s">
        <v>101</v>
      </c>
      <c r="K28" s="22" t="s">
        <v>79</v>
      </c>
      <c r="L28" s="23"/>
    </row>
    <row r="29" spans="1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50">
        <f>DAYS360(C29,E29)+1</f>
        <v>2</v>
      </c>
      <c r="G29" s="16" t="s">
        <v>65</v>
      </c>
      <c r="H29" s="49" t="s">
        <v>74</v>
      </c>
      <c r="I29" s="21" t="s">
        <v>110</v>
      </c>
      <c r="J29" s="19" t="s">
        <v>102</v>
      </c>
      <c r="K29" s="22" t="s">
        <v>79</v>
      </c>
      <c r="L29" s="48" t="s">
        <v>66</v>
      </c>
    </row>
    <row r="30" spans="1:12" ht="47.25" customHeight="1" thickBot="1">
      <c r="C30" s="1"/>
      <c r="E30" s="1"/>
      <c r="F30" s="4">
        <f>SUM(F8:F29)</f>
        <v>95</v>
      </c>
    </row>
    <row r="31" spans="1:12" ht="21.75" customHeight="1">
      <c r="B31" s="54" t="s">
        <v>13</v>
      </c>
      <c r="C31" s="54"/>
      <c r="D31" s="54"/>
      <c r="E31" s="54"/>
      <c r="F31" s="54"/>
      <c r="G31" s="54"/>
      <c r="H31" s="54"/>
      <c r="I31" s="54"/>
      <c r="J31" s="54"/>
      <c r="K31" s="54"/>
    </row>
    <row r="32" spans="1:12" s="5" customFormat="1" ht="27">
      <c r="B32" s="55" t="s">
        <v>76</v>
      </c>
      <c r="C32" s="55"/>
      <c r="D32" s="55"/>
      <c r="E32" s="55"/>
      <c r="F32" s="55"/>
      <c r="G32" s="55"/>
      <c r="H32" s="55"/>
      <c r="I32" s="55"/>
      <c r="J32" s="55"/>
      <c r="K32" s="55"/>
    </row>
    <row r="43" spans="9:9">
      <c r="I43" s="2" t="s">
        <v>37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박석호</cp:lastModifiedBy>
  <cp:lastPrinted>2025-11-02T06:18:26Z</cp:lastPrinted>
  <dcterms:created xsi:type="dcterms:W3CDTF">2018-02-18T11:15:11Z</dcterms:created>
  <dcterms:modified xsi:type="dcterms:W3CDTF">2025-11-02T06:19:12Z</dcterms:modified>
</cp:coreProperties>
</file>